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codeName="ThisWorkbook"/>
  <mc:AlternateContent xmlns:mc="http://schemas.openxmlformats.org/markup-compatibility/2006">
    <mc:Choice Requires="x15">
      <x15ac:absPath xmlns:x15ac="http://schemas.microsoft.com/office/spreadsheetml/2010/11/ac" url="https://uofnebraska-my.sharepoint.com/personal/90458170_nebraska_edu/Documents/CIVE 202 - Project #5/"/>
    </mc:Choice>
  </mc:AlternateContent>
  <xr:revisionPtr revIDLastSave="240" documentId="8_{80AA1CC7-D0CF-4AF3-82DC-2B78EB507B45}" xr6:coauthVersionLast="47" xr6:coauthVersionMax="47" xr10:uidLastSave="{A5F8AC01-A61B-4756-B5F8-5B28D14C8E72}"/>
  <bookViews>
    <workbookView xWindow="-110" yWindow="-110" windowWidth="19420" windowHeight="115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H5" i="11" l="1"/>
  <c r="H4" i="11" s="1"/>
  <c r="G28" i="11"/>
  <c r="G24" i="11"/>
  <c r="G16" i="11"/>
  <c r="G8" i="11"/>
  <c r="G9" i="11" l="1"/>
  <c r="H6" i="11"/>
  <c r="G26" i="11" l="1"/>
  <c r="G25" i="11"/>
  <c r="G13" i="11"/>
  <c r="G27" i="11"/>
  <c r="G17" i="11"/>
  <c r="I5" i="11"/>
  <c r="J5" i="11" s="1"/>
  <c r="K5" i="11" s="1"/>
  <c r="L5" i="11" s="1"/>
  <c r="M5" i="11" s="1"/>
  <c r="N5" i="11" s="1"/>
  <c r="O5" i="11" s="1"/>
  <c r="G20" i="11" l="1"/>
  <c r="O4" i="1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J5" i="11" s="1"/>
  <c r="BJ6" i="11" s="1"/>
  <c r="BH6" i="11"/>
  <c r="AC6" i="11"/>
  <c r="BI6" i="11" l="1"/>
  <c r="AD6" i="11"/>
  <c r="AE6" i="11" l="1"/>
  <c r="AF6" i="11" l="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<sst xmlns="http://schemas.openxmlformats.org/spreadsheetml/2006/main" count="64" uniqueCount="53">
  <si>
    <t>Project #5</t>
  </si>
  <si>
    <t>Project start:</t>
  </si>
  <si>
    <t>Logan Baardson, Arturo Garcia, Naylaweh Htoo</t>
  </si>
  <si>
    <t>Display week:</t>
  </si>
  <si>
    <t>SIMPLE GANTT CHART by Vertex42.com</t>
  </si>
  <si>
    <t>https://www.vertex42.com/ExcelTemplates/simple-gantt-chart.html</t>
  </si>
  <si>
    <t>TASK</t>
  </si>
  <si>
    <t>ASSIGNED TO</t>
  </si>
  <si>
    <t>START</t>
  </si>
  <si>
    <t>END</t>
  </si>
  <si>
    <t xml:space="preserve">Do not delete this row. This row is hidden to preserve a formula that is used to highlight the current day within the project schedule. </t>
  </si>
  <si>
    <t>Project Management</t>
  </si>
  <si>
    <t>Gantt Chart</t>
  </si>
  <si>
    <t>Logan Baardson</t>
  </si>
  <si>
    <t>Visualizing &amp; Organizing Data</t>
  </si>
  <si>
    <t>Arturo Garcia</t>
  </si>
  <si>
    <t>Flow Chart</t>
  </si>
  <si>
    <t>Naylaweh Htoo</t>
  </si>
  <si>
    <t>SOW</t>
  </si>
  <si>
    <t>Arturo Garcia &amp; Naylaweh Htoo</t>
  </si>
  <si>
    <t>Github Repository</t>
  </si>
  <si>
    <t>Technical Executive Summary</t>
  </si>
  <si>
    <t>Non-Technical Executive Summary</t>
  </si>
  <si>
    <t>Data Analysis</t>
  </si>
  <si>
    <t>Researching on transportation
data analyzation methods</t>
  </si>
  <si>
    <t>Method 1</t>
  </si>
  <si>
    <t>Method 2</t>
  </si>
  <si>
    <t>Method 3</t>
  </si>
  <si>
    <t>Visualizing Data With Graphs</t>
  </si>
  <si>
    <t>Analysis of bias/ethics</t>
  </si>
  <si>
    <t>Naylaw Htoo</t>
  </si>
  <si>
    <t>Simulation Study</t>
  </si>
  <si>
    <t>4/31/26</t>
  </si>
  <si>
    <t>Documentation</t>
  </si>
  <si>
    <t>Written Report</t>
  </si>
  <si>
    <t>Annotated Code Document</t>
  </si>
  <si>
    <t>Logan Baardson and Arturo Garcia</t>
  </si>
  <si>
    <t>Timesheet</t>
  </si>
  <si>
    <t>All</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</si>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</sst>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s>
  <borders count="19">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0" borderId="17" xfId="0" applyNumberFormat="1" applyFont="1" applyFill="1" applyBorder="1" applyAlignment="1">
      <alignment horizontal="center" vertical="center"/>
    </xf>
    <xf numFmtId="167" fontId="21" fillId="10" borderId="15" xfId="0" applyNumberFormat="1" applyFont="1" applyFill="1" applyBorder="1" applyAlignment="1">
      <alignment horizontal="center" vertical="center"/>
    </xf>
    <xf numFmtId="167" fontId="21" fillId="10" borderId="16" xfId="0" applyNumberFormat="1" applyFont="1" applyFill="1" applyBorder="1" applyAlignment="1">
      <alignment horizontal="center" vertical="center"/>
    </xf>
    <xf numFmtId="0" fontId="22" fillId="2" borderId="14" xfId="0" applyFont="1" applyFill="1" applyBorder="1" applyAlignment="1">
      <alignment horizontal="center" vertical="center" shrinkToFit="1"/>
    </xf>
    <xf numFmtId="0" fontId="22" fillId="2" borderId="12"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0"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9" fillId="3" borderId="6" xfId="11" applyFont="1" applyFill="1" applyBorder="1">
      <alignment horizontal="left" vertical="center" indent="2"/>
    </xf>
    <xf numFmtId="0" fontId="19" fillId="3" borderId="6" xfId="10" applyFont="1" applyFill="1" applyBorder="1" applyAlignment="1">
      <alignment vertical="center"/>
    </xf>
    <xf numFmtId="164" fontId="19" fillId="3" borderId="6" xfId="9" applyFont="1" applyFill="1" applyBorder="1">
      <alignment horizontal="center" vertical="center"/>
    </xf>
    <xf numFmtId="0" fontId="4" fillId="0" borderId="4" xfId="0" applyFont="1" applyBorder="1" applyAlignment="1">
      <alignment vertical="center"/>
    </xf>
    <xf numFmtId="0" fontId="19" fillId="3" borderId="7" xfId="11" applyFont="1" applyFill="1" applyBorder="1">
      <alignment horizontal="left" vertical="center" indent="2"/>
    </xf>
    <xf numFmtId="164" fontId="19" fillId="3" borderId="7" xfId="9"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0"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lignment horizontal="left" vertical="center" indent="2"/>
    </xf>
    <xf numFmtId="0" fontId="19" fillId="4" borderId="5" xfId="10" applyFont="1" applyFill="1" applyBorder="1" applyAlignment="1">
      <alignment vertical="center"/>
    </xf>
    <xf numFmtId="164" fontId="19" fillId="4" borderId="5" xfId="9" applyFont="1" applyFill="1" applyBorder="1">
      <alignment horizontal="center" vertical="center"/>
    </xf>
    <xf numFmtId="0" fontId="23" fillId="8" borderId="0" xfId="0" applyFont="1" applyFill="1" applyAlignment="1">
      <alignment horizontal="left" vertical="center" indent="1"/>
    </xf>
    <xf numFmtId="0" fontId="19" fillId="8" borderId="0" xfId="10"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9" xfId="0" applyFont="1" applyBorder="1" applyAlignment="1">
      <alignment vertical="center"/>
    </xf>
    <xf numFmtId="0" fontId="19" fillId="5" borderId="8" xfId="11" applyFont="1" applyFill="1" applyBorder="1">
      <alignment horizontal="left" vertical="center" indent="2"/>
    </xf>
    <xf numFmtId="0" fontId="19" fillId="5" borderId="8" xfId="10" applyFont="1" applyFill="1" applyBorder="1" applyAlignment="1">
      <alignment vertical="center"/>
    </xf>
    <xf numFmtId="164" fontId="19" fillId="5" borderId="8" xfId="9"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5" applyFont="1" applyAlignment="1">
      <alignment horizontal="left" vertical="center" indent="1"/>
    </xf>
    <xf numFmtId="0" fontId="26" fillId="0" borderId="0" xfId="6" applyFont="1" applyAlignment="1">
      <alignment horizontal="left" vertical="center" indent="1"/>
    </xf>
    <xf numFmtId="0" fontId="29" fillId="0" borderId="0" xfId="4"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2" applyAlignment="1">
      <alignment wrapText="1"/>
    </xf>
    <xf numFmtId="0" fontId="19" fillId="4" borderId="5" xfId="11" applyFont="1" applyFill="1" applyBorder="1" applyAlignment="1">
      <alignment horizontal="left" vertical="center" wrapText="1" indent="2"/>
    </xf>
    <xf numFmtId="0" fontId="19" fillId="3" borderId="0" xfId="11" applyFont="1" applyFill="1" applyBorder="1">
      <alignment horizontal="left" vertical="center" indent="2"/>
    </xf>
    <xf numFmtId="0" fontId="19" fillId="3" borderId="0" xfId="10" applyFont="1" applyFill="1" applyBorder="1" applyAlignment="1">
      <alignment vertical="center"/>
    </xf>
    <xf numFmtId="164" fontId="19" fillId="3" borderId="0" xfId="9" applyFont="1" applyFill="1" applyBorder="1">
      <alignment horizontal="center" vertical="center"/>
    </xf>
    <xf numFmtId="0" fontId="4" fillId="0" borderId="0" xfId="0" applyFont="1" applyAlignment="1">
      <alignment horizontal="right" vertical="center"/>
    </xf>
    <xf numFmtId="0" fontId="27" fillId="0" borderId="0" xfId="0" applyFont="1" applyAlignment="1">
      <alignment horizontal="left"/>
    </xf>
    <xf numFmtId="165" fontId="27" fillId="0" borderId="0" xfId="8" applyFont="1" applyBorder="1" applyAlignment="1">
      <alignment horizontal="left"/>
    </xf>
    <xf numFmtId="0" fontId="26" fillId="0" borderId="0" xfId="7" applyFont="1" applyAlignment="1">
      <alignment horizontal="left"/>
    </xf>
    <xf numFmtId="166" fontId="19" fillId="2" borderId="11" xfId="0" applyNumberFormat="1" applyFont="1" applyFill="1" applyBorder="1" applyAlignment="1">
      <alignment horizontal="center" vertical="center" wrapText="1"/>
    </xf>
    <xf numFmtId="166" fontId="19" fillId="2" borderId="15" xfId="0" applyNumberFormat="1" applyFont="1" applyFill="1" applyBorder="1" applyAlignment="1">
      <alignment horizontal="center" vertical="center" wrapText="1"/>
    </xf>
    <xf numFmtId="0" fontId="13" fillId="0" borderId="0" xfId="2" applyAlignment="1">
      <alignment wrapText="1"/>
    </xf>
    <xf numFmtId="0" fontId="20" fillId="9" borderId="13" xfId="0" applyFont="1" applyFill="1" applyBorder="1" applyAlignment="1">
      <alignment horizontal="left" vertical="center" indent="1"/>
    </xf>
    <xf numFmtId="0" fontId="4" fillId="2" borderId="18" xfId="0" applyFont="1" applyFill="1" applyBorder="1" applyAlignment="1">
      <alignment horizontal="left" indent="1"/>
    </xf>
    <xf numFmtId="0" fontId="20" fillId="9" borderId="13" xfId="0" applyFont="1" applyFill="1" applyBorder="1" applyAlignment="1">
      <alignment vertical="center"/>
    </xf>
    <xf numFmtId="0" fontId="20" fillId="9" borderId="13" xfId="0" applyFont="1" applyFill="1" applyBorder="1" applyAlignment="1">
      <alignment horizontal="center" vertical="center"/>
    </xf>
    <xf numFmtId="0" fontId="4" fillId="0" borderId="0" xfId="0" applyFont="1" applyAlignment="1"/>
    <xf numFmtId="0" fontId="28" fillId="0" borderId="0" xfId="0" applyFont="1" applyAlignment="1"/>
    <xf numFmtId="0" fontId="4" fillId="2" borderId="18" xfId="0" applyFont="1" applyFill="1" applyBorder="1" applyAlignme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20">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31"/>
  <sheetViews>
    <sheetView showGridLines="0" tabSelected="1" showRuler="0" zoomScaleNormal="100" zoomScalePageLayoutView="70" workbookViewId="0">
      <selection activeCell="P3" sqref="P3"/>
    </sheetView>
  </sheetViews>
  <sheetFormatPr defaultColWidth="8.75" defaultRowHeight="30" customHeight="1"/>
  <cols>
    <col min="1" max="1" width="2.75" style="13" customWidth="1"/>
    <col min="2" max="2" width="40.375" customWidth="1"/>
    <col min="3" max="3" width="27.125" customWidth="1"/>
    <col min="4" max="4" width="10.75" style="2" customWidth="1"/>
    <col min="5" max="5" width="10.75" customWidth="1"/>
    <col min="6" max="6" width="2.75" customWidth="1"/>
    <col min="7" max="7" width="6" hidden="1" customWidth="1"/>
    <col min="8" max="63" width="2.75" customWidth="1"/>
  </cols>
  <sheetData>
    <row r="1" spans="1:62" ht="90" customHeight="1">
      <c r="A1" s="79"/>
      <c r="B1" s="71" t="s">
        <v>0</v>
      </c>
      <c r="C1" s="17"/>
      <c r="D1" s="18"/>
      <c r="E1" s="19"/>
      <c r="G1" s="1"/>
      <c r="H1" s="87" t="s">
        <v>1</v>
      </c>
      <c r="I1" s="95"/>
      <c r="J1" s="95"/>
      <c r="K1" s="95"/>
      <c r="L1" s="95"/>
      <c r="M1" s="95"/>
      <c r="N1" s="95"/>
      <c r="O1" s="22"/>
      <c r="P1" s="86">
        <v>46066</v>
      </c>
      <c r="Q1" s="96"/>
      <c r="R1" s="96"/>
      <c r="S1" s="96"/>
      <c r="T1" s="96"/>
      <c r="U1" s="96"/>
      <c r="V1" s="96"/>
      <c r="W1" s="96"/>
      <c r="X1" s="96"/>
      <c r="Y1" s="96"/>
    </row>
    <row r="2" spans="1:62" ht="30" customHeight="1">
      <c r="B2" s="69" t="s">
        <v>2</v>
      </c>
      <c r="C2" s="70"/>
      <c r="D2" s="21"/>
      <c r="E2" s="20"/>
      <c r="H2" s="87" t="s">
        <v>3</v>
      </c>
      <c r="I2" s="95"/>
      <c r="J2" s="95"/>
      <c r="K2" s="95"/>
      <c r="L2" s="95"/>
      <c r="M2" s="95"/>
      <c r="N2" s="95"/>
      <c r="O2" s="22"/>
      <c r="P2" s="85">
        <v>2</v>
      </c>
      <c r="Q2" s="96"/>
      <c r="R2" s="96"/>
      <c r="S2" s="96"/>
      <c r="T2" s="96"/>
      <c r="U2" s="96"/>
      <c r="V2" s="96"/>
      <c r="W2" s="96"/>
      <c r="X2" s="96"/>
      <c r="Y2" s="96"/>
    </row>
    <row r="3" spans="1:62" s="24" customFormat="1" ht="30" customHeight="1">
      <c r="A3" s="13"/>
      <c r="B3" s="23" t="s">
        <v>4</v>
      </c>
      <c r="D3" s="25"/>
    </row>
    <row r="4" spans="1:62" s="24" customFormat="1" ht="30" customHeight="1">
      <c r="A4" s="79"/>
      <c r="B4" s="26" t="s">
        <v>5</v>
      </c>
      <c r="D4" s="27"/>
      <c r="H4" s="89">
        <f>H5</f>
        <v>46069</v>
      </c>
      <c r="I4" s="88"/>
      <c r="J4" s="88"/>
      <c r="K4" s="88"/>
      <c r="L4" s="88"/>
      <c r="M4" s="88"/>
      <c r="N4" s="88"/>
      <c r="O4" s="88">
        <f>O5</f>
        <v>46076</v>
      </c>
      <c r="P4" s="88"/>
      <c r="Q4" s="88"/>
      <c r="R4" s="88"/>
      <c r="S4" s="88"/>
      <c r="T4" s="88"/>
      <c r="U4" s="88"/>
      <c r="V4" s="88">
        <f>V5</f>
        <v>46083</v>
      </c>
      <c r="W4" s="88"/>
      <c r="X4" s="88"/>
      <c r="Y4" s="88"/>
      <c r="Z4" s="88"/>
      <c r="AA4" s="88"/>
      <c r="AB4" s="88"/>
      <c r="AC4" s="88">
        <f>AC5</f>
        <v>46090</v>
      </c>
      <c r="AD4" s="88"/>
      <c r="AE4" s="88"/>
      <c r="AF4" s="88"/>
      <c r="AG4" s="88"/>
      <c r="AH4" s="88"/>
      <c r="AI4" s="88"/>
      <c r="AJ4" s="88">
        <f>AJ5</f>
        <v>46097</v>
      </c>
      <c r="AK4" s="88"/>
      <c r="AL4" s="88"/>
      <c r="AM4" s="88"/>
      <c r="AN4" s="88"/>
      <c r="AO4" s="88"/>
      <c r="AP4" s="88"/>
      <c r="AQ4" s="88">
        <f>AQ5</f>
        <v>46104</v>
      </c>
      <c r="AR4" s="88"/>
      <c r="AS4" s="88"/>
      <c r="AT4" s="88"/>
      <c r="AU4" s="88"/>
      <c r="AV4" s="88"/>
      <c r="AW4" s="88"/>
      <c r="AX4" s="88">
        <f>AX5</f>
        <v>46111</v>
      </c>
      <c r="AY4" s="88"/>
      <c r="AZ4" s="88"/>
      <c r="BA4" s="88"/>
      <c r="BB4" s="88"/>
      <c r="BC4" s="88"/>
      <c r="BD4" s="88"/>
      <c r="BE4" s="88">
        <f>BE5</f>
        <v>46118</v>
      </c>
      <c r="BF4" s="88"/>
      <c r="BG4" s="88"/>
      <c r="BH4" s="88"/>
      <c r="BI4" s="88"/>
      <c r="BJ4" s="88"/>
    </row>
    <row r="5" spans="1:62" s="24" customFormat="1" ht="15" customHeight="1">
      <c r="A5" s="90"/>
      <c r="B5" s="91" t="s">
        <v>6</v>
      </c>
      <c r="C5" s="93" t="s">
        <v>7</v>
      </c>
      <c r="D5" s="94" t="s">
        <v>8</v>
      </c>
      <c r="E5" s="94" t="s">
        <v>9</v>
      </c>
      <c r="H5" s="28">
        <f>Project_Start-WEEKDAY(Project_Start,1)+2+7*(Display_Week-1)</f>
        <v>46069</v>
      </c>
      <c r="I5" s="28">
        <f>H5+1</f>
        <v>46070</v>
      </c>
      <c r="J5" s="28">
        <f t="shared" ref="J5:AW5" si="0">I5+1</f>
        <v>46071</v>
      </c>
      <c r="K5" s="28">
        <f t="shared" si="0"/>
        <v>46072</v>
      </c>
      <c r="L5" s="28">
        <f t="shared" si="0"/>
        <v>46073</v>
      </c>
      <c r="M5" s="28">
        <f t="shared" si="0"/>
        <v>46074</v>
      </c>
      <c r="N5" s="29">
        <f t="shared" si="0"/>
        <v>46075</v>
      </c>
      <c r="O5" s="30">
        <f>N5+1</f>
        <v>46076</v>
      </c>
      <c r="P5" s="28">
        <f>O5+1</f>
        <v>46077</v>
      </c>
      <c r="Q5" s="28">
        <f t="shared" si="0"/>
        <v>46078</v>
      </c>
      <c r="R5" s="28">
        <f t="shared" si="0"/>
        <v>46079</v>
      </c>
      <c r="S5" s="28">
        <f t="shared" si="0"/>
        <v>46080</v>
      </c>
      <c r="T5" s="28">
        <f t="shared" si="0"/>
        <v>46081</v>
      </c>
      <c r="U5" s="29">
        <f t="shared" si="0"/>
        <v>46082</v>
      </c>
      <c r="V5" s="30">
        <f>U5+1</f>
        <v>46083</v>
      </c>
      <c r="W5" s="28">
        <f>V5+1</f>
        <v>46084</v>
      </c>
      <c r="X5" s="28">
        <f t="shared" si="0"/>
        <v>46085</v>
      </c>
      <c r="Y5" s="28">
        <f t="shared" si="0"/>
        <v>46086</v>
      </c>
      <c r="Z5" s="28">
        <f t="shared" si="0"/>
        <v>46087</v>
      </c>
      <c r="AA5" s="28">
        <f t="shared" si="0"/>
        <v>46088</v>
      </c>
      <c r="AB5" s="29">
        <f t="shared" si="0"/>
        <v>46089</v>
      </c>
      <c r="AC5" s="30">
        <f>AB5+1</f>
        <v>46090</v>
      </c>
      <c r="AD5" s="28">
        <f>AC5+1</f>
        <v>46091</v>
      </c>
      <c r="AE5" s="28">
        <f t="shared" si="0"/>
        <v>46092</v>
      </c>
      <c r="AF5" s="28">
        <f t="shared" si="0"/>
        <v>46093</v>
      </c>
      <c r="AG5" s="28">
        <f t="shared" si="0"/>
        <v>46094</v>
      </c>
      <c r="AH5" s="28">
        <f t="shared" si="0"/>
        <v>46095</v>
      </c>
      <c r="AI5" s="29">
        <f t="shared" si="0"/>
        <v>46096</v>
      </c>
      <c r="AJ5" s="30">
        <f>AI5+1</f>
        <v>46097</v>
      </c>
      <c r="AK5" s="28">
        <f>AJ5+1</f>
        <v>46098</v>
      </c>
      <c r="AL5" s="28">
        <f t="shared" si="0"/>
        <v>46099</v>
      </c>
      <c r="AM5" s="28">
        <f t="shared" si="0"/>
        <v>46100</v>
      </c>
      <c r="AN5" s="28">
        <f t="shared" si="0"/>
        <v>46101</v>
      </c>
      <c r="AO5" s="28">
        <f t="shared" si="0"/>
        <v>46102</v>
      </c>
      <c r="AP5" s="29">
        <f t="shared" si="0"/>
        <v>46103</v>
      </c>
      <c r="AQ5" s="30">
        <f>AP5+1</f>
        <v>46104</v>
      </c>
      <c r="AR5" s="28">
        <f>AQ5+1</f>
        <v>46105</v>
      </c>
      <c r="AS5" s="28">
        <f t="shared" si="0"/>
        <v>46106</v>
      </c>
      <c r="AT5" s="28">
        <f t="shared" si="0"/>
        <v>46107</v>
      </c>
      <c r="AU5" s="28">
        <f t="shared" si="0"/>
        <v>46108</v>
      </c>
      <c r="AV5" s="28">
        <f t="shared" si="0"/>
        <v>46109</v>
      </c>
      <c r="AW5" s="29">
        <f t="shared" si="0"/>
        <v>46110</v>
      </c>
      <c r="AX5" s="30">
        <f>AW5+1</f>
        <v>46111</v>
      </c>
      <c r="AY5" s="28">
        <f>AX5+1</f>
        <v>46112</v>
      </c>
      <c r="AZ5" s="28">
        <f t="shared" ref="AZ5:BD5" si="1">AY5+1</f>
        <v>46113</v>
      </c>
      <c r="BA5" s="28">
        <f t="shared" si="1"/>
        <v>46114</v>
      </c>
      <c r="BB5" s="28">
        <f t="shared" si="1"/>
        <v>46115</v>
      </c>
      <c r="BC5" s="28">
        <f t="shared" si="1"/>
        <v>46116</v>
      </c>
      <c r="BD5" s="29">
        <f t="shared" si="1"/>
        <v>46117</v>
      </c>
      <c r="BE5" s="30">
        <f>BD5+1</f>
        <v>46118</v>
      </c>
      <c r="BF5" s="28">
        <f>BE5+1</f>
        <v>46119</v>
      </c>
      <c r="BG5" s="28">
        <f t="shared" ref="BG5:BJ5" si="2">BF5+1</f>
        <v>46120</v>
      </c>
      <c r="BH5" s="28">
        <f t="shared" si="2"/>
        <v>46121</v>
      </c>
      <c r="BI5" s="28">
        <f t="shared" si="2"/>
        <v>46122</v>
      </c>
      <c r="BJ5" s="28">
        <f t="shared" si="2"/>
        <v>46123</v>
      </c>
    </row>
    <row r="6" spans="1:62" s="24" customFormat="1" ht="15" customHeight="1" thickBot="1">
      <c r="A6" s="90"/>
      <c r="B6" s="92"/>
      <c r="C6" s="97"/>
      <c r="D6" s="97"/>
      <c r="E6" s="97"/>
      <c r="H6" s="31" t="str">
        <f t="shared" ref="H6:AM6" si="3">LEFT(TEXT(H5,"ddd"),1)</f>
        <v>M</v>
      </c>
      <c r="I6" s="32" t="str">
        <f t="shared" si="3"/>
        <v>T</v>
      </c>
      <c r="J6" s="32" t="str">
        <f t="shared" si="3"/>
        <v>W</v>
      </c>
      <c r="K6" s="32" t="str">
        <f t="shared" si="3"/>
        <v>T</v>
      </c>
      <c r="L6" s="32" t="str">
        <f t="shared" si="3"/>
        <v>F</v>
      </c>
      <c r="M6" s="32" t="str">
        <f t="shared" si="3"/>
        <v>S</v>
      </c>
      <c r="N6" s="32" t="str">
        <f t="shared" si="3"/>
        <v>S</v>
      </c>
      <c r="O6" s="32" t="str">
        <f t="shared" si="3"/>
        <v>M</v>
      </c>
      <c r="P6" s="32" t="str">
        <f t="shared" si="3"/>
        <v>T</v>
      </c>
      <c r="Q6" s="32" t="str">
        <f t="shared" si="3"/>
        <v>W</v>
      </c>
      <c r="R6" s="32" t="str">
        <f t="shared" si="3"/>
        <v>T</v>
      </c>
      <c r="S6" s="32" t="str">
        <f t="shared" si="3"/>
        <v>F</v>
      </c>
      <c r="T6" s="32" t="str">
        <f t="shared" si="3"/>
        <v>S</v>
      </c>
      <c r="U6" s="32" t="str">
        <f t="shared" si="3"/>
        <v>S</v>
      </c>
      <c r="V6" s="32" t="str">
        <f t="shared" si="3"/>
        <v>M</v>
      </c>
      <c r="W6" s="32" t="str">
        <f t="shared" si="3"/>
        <v>T</v>
      </c>
      <c r="X6" s="32" t="str">
        <f t="shared" si="3"/>
        <v>W</v>
      </c>
      <c r="Y6" s="32" t="str">
        <f t="shared" si="3"/>
        <v>T</v>
      </c>
      <c r="Z6" s="32" t="str">
        <f t="shared" si="3"/>
        <v>F</v>
      </c>
      <c r="AA6" s="32" t="str">
        <f t="shared" si="3"/>
        <v>S</v>
      </c>
      <c r="AB6" s="32" t="str">
        <f t="shared" si="3"/>
        <v>S</v>
      </c>
      <c r="AC6" s="32" t="str">
        <f t="shared" si="3"/>
        <v>M</v>
      </c>
      <c r="AD6" s="32" t="str">
        <f t="shared" si="3"/>
        <v>T</v>
      </c>
      <c r="AE6" s="32" t="str">
        <f t="shared" si="3"/>
        <v>W</v>
      </c>
      <c r="AF6" s="32" t="str">
        <f t="shared" si="3"/>
        <v>T</v>
      </c>
      <c r="AG6" s="32" t="str">
        <f t="shared" si="3"/>
        <v>F</v>
      </c>
      <c r="AH6" s="32" t="str">
        <f t="shared" si="3"/>
        <v>S</v>
      </c>
      <c r="AI6" s="32" t="str">
        <f t="shared" si="3"/>
        <v>S</v>
      </c>
      <c r="AJ6" s="32" t="str">
        <f t="shared" si="3"/>
        <v>M</v>
      </c>
      <c r="AK6" s="32" t="str">
        <f t="shared" si="3"/>
        <v>T</v>
      </c>
      <c r="AL6" s="32" t="str">
        <f t="shared" si="3"/>
        <v>W</v>
      </c>
      <c r="AM6" s="32" t="str">
        <f t="shared" si="3"/>
        <v>T</v>
      </c>
      <c r="AN6" s="32" t="str">
        <f t="shared" ref="AN6:BJ6" si="4">LEFT(TEXT(AN5,"ddd"),1)</f>
        <v>F</v>
      </c>
      <c r="AO6" s="32" t="str">
        <f t="shared" si="4"/>
        <v>S</v>
      </c>
      <c r="AP6" s="32" t="str">
        <f t="shared" si="4"/>
        <v>S</v>
      </c>
      <c r="AQ6" s="32" t="str">
        <f t="shared" si="4"/>
        <v>M</v>
      </c>
      <c r="AR6" s="32" t="str">
        <f t="shared" si="4"/>
        <v>T</v>
      </c>
      <c r="AS6" s="32" t="str">
        <f t="shared" si="4"/>
        <v>W</v>
      </c>
      <c r="AT6" s="32" t="str">
        <f t="shared" si="4"/>
        <v>T</v>
      </c>
      <c r="AU6" s="32" t="str">
        <f t="shared" si="4"/>
        <v>F</v>
      </c>
      <c r="AV6" s="32" t="str">
        <f t="shared" si="4"/>
        <v>S</v>
      </c>
      <c r="AW6" s="32" t="str">
        <f t="shared" si="4"/>
        <v>S</v>
      </c>
      <c r="AX6" s="32" t="str">
        <f t="shared" si="4"/>
        <v>M</v>
      </c>
      <c r="AY6" s="32" t="str">
        <f t="shared" si="4"/>
        <v>T</v>
      </c>
      <c r="AZ6" s="32" t="str">
        <f t="shared" si="4"/>
        <v>W</v>
      </c>
      <c r="BA6" s="32" t="str">
        <f t="shared" si="4"/>
        <v>T</v>
      </c>
      <c r="BB6" s="32" t="str">
        <f t="shared" si="4"/>
        <v>F</v>
      </c>
      <c r="BC6" s="32" t="str">
        <f t="shared" si="4"/>
        <v>S</v>
      </c>
      <c r="BD6" s="32" t="str">
        <f t="shared" si="4"/>
        <v>S</v>
      </c>
      <c r="BE6" s="32" t="str">
        <f t="shared" si="4"/>
        <v>M</v>
      </c>
      <c r="BF6" s="32" t="str">
        <f t="shared" si="4"/>
        <v>T</v>
      </c>
      <c r="BG6" s="32" t="str">
        <f t="shared" si="4"/>
        <v>W</v>
      </c>
      <c r="BH6" s="32" t="str">
        <f t="shared" si="4"/>
        <v>T</v>
      </c>
      <c r="BI6" s="32" t="str">
        <f t="shared" si="4"/>
        <v>F</v>
      </c>
      <c r="BJ6" s="32" t="str">
        <f t="shared" si="4"/>
        <v>S</v>
      </c>
    </row>
    <row r="7" spans="1:62" s="24" customFormat="1" ht="30" hidden="1" customHeight="1" thickBot="1">
      <c r="A7" s="13" t="s">
        <v>10</v>
      </c>
      <c r="B7" s="33"/>
      <c r="C7" s="34"/>
      <c r="D7" s="33"/>
      <c r="E7" s="33"/>
      <c r="G7" s="24" t="str">
        <f ca="1">IF(OR(ISBLANK(task_start),ISBLANK(task_end)),"",task_end-task_start+1)</f>
        <v/>
      </c>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row>
    <row r="8" spans="1:62" s="41" customFormat="1" ht="30" customHeight="1" thickBot="1">
      <c r="A8" s="79"/>
      <c r="B8" s="36" t="s">
        <v>11</v>
      </c>
      <c r="C8" s="37"/>
      <c r="D8" s="38"/>
      <c r="E8" s="39"/>
      <c r="F8" s="16"/>
      <c r="G8" s="5" t="str">
        <f t="shared" ref="G8:G28" ca="1" si="5">IF(OR(ISBLANK(task_start),ISBLANK(task_end)),"",task_end-task_start+1)</f>
        <v/>
      </c>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row>
    <row r="9" spans="1:62" s="41" customFormat="1" ht="30" customHeight="1" thickBot="1">
      <c r="A9" s="79"/>
      <c r="B9" s="42" t="s">
        <v>12</v>
      </c>
      <c r="C9" s="43" t="s">
        <v>13</v>
      </c>
      <c r="D9" s="44">
        <v>46081</v>
      </c>
      <c r="E9" s="44">
        <v>46087</v>
      </c>
      <c r="F9" s="16"/>
      <c r="G9" s="5">
        <f t="shared" ca="1" si="5"/>
        <v>7</v>
      </c>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row>
    <row r="10" spans="1:62" s="41" customFormat="1" ht="30" customHeight="1" thickBot="1">
      <c r="A10" s="79"/>
      <c r="B10" s="42" t="s">
        <v>14</v>
      </c>
      <c r="C10" s="43" t="s">
        <v>15</v>
      </c>
      <c r="D10" s="44">
        <v>46066</v>
      </c>
      <c r="E10" s="44">
        <v>46073</v>
      </c>
      <c r="F10" s="16"/>
      <c r="G10" s="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row>
    <row r="11" spans="1:62" s="41" customFormat="1" ht="30" customHeight="1" thickBot="1">
      <c r="A11" s="79"/>
      <c r="B11" s="42" t="s">
        <v>16</v>
      </c>
      <c r="C11" s="43" t="s">
        <v>17</v>
      </c>
      <c r="D11" s="44">
        <v>46087</v>
      </c>
      <c r="E11" s="44">
        <v>46094</v>
      </c>
      <c r="F11" s="16"/>
      <c r="G11" s="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row>
    <row r="12" spans="1:62" s="41" customFormat="1" ht="30" customHeight="1" thickBot="1">
      <c r="A12" s="79"/>
      <c r="B12" s="46" t="s">
        <v>18</v>
      </c>
      <c r="C12" s="43" t="s">
        <v>19</v>
      </c>
      <c r="D12" s="47">
        <v>46073</v>
      </c>
      <c r="E12" s="47">
        <v>46080</v>
      </c>
      <c r="F12" s="16"/>
      <c r="G12" s="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row>
    <row r="13" spans="1:62" s="41" customFormat="1" ht="30" customHeight="1" thickBot="1">
      <c r="A13" s="79"/>
      <c r="B13" s="46" t="s">
        <v>20</v>
      </c>
      <c r="C13" s="43" t="s">
        <v>13</v>
      </c>
      <c r="D13" s="47">
        <v>46143</v>
      </c>
      <c r="E13" s="47">
        <v>46150</v>
      </c>
      <c r="F13" s="16"/>
      <c r="G13" s="5">
        <f t="shared" ca="1" si="5"/>
        <v>8</v>
      </c>
      <c r="H13" s="45"/>
      <c r="I13" s="45"/>
      <c r="J13" s="45"/>
      <c r="K13" s="45"/>
      <c r="L13" s="45"/>
      <c r="M13" s="45"/>
      <c r="N13" s="45"/>
      <c r="O13" s="45"/>
      <c r="P13" s="45"/>
      <c r="Q13" s="45"/>
      <c r="R13" s="45"/>
      <c r="S13" s="45"/>
      <c r="T13" s="48"/>
      <c r="U13" s="48"/>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row>
    <row r="14" spans="1:62" s="41" customFormat="1" ht="30" customHeight="1" thickBot="1">
      <c r="A14" s="79"/>
      <c r="B14" s="81" t="s">
        <v>21</v>
      </c>
      <c r="C14" s="82" t="s">
        <v>17</v>
      </c>
      <c r="D14" s="83">
        <v>46134</v>
      </c>
      <c r="E14" s="83">
        <v>46143</v>
      </c>
      <c r="F14" s="16"/>
      <c r="G14" s="5"/>
      <c r="T14" s="84"/>
      <c r="U14" s="84"/>
    </row>
    <row r="15" spans="1:62" s="41" customFormat="1" ht="30" customHeight="1" thickBot="1">
      <c r="A15" s="79"/>
      <c r="B15" s="81" t="s">
        <v>22</v>
      </c>
      <c r="C15" s="82" t="s">
        <v>17</v>
      </c>
      <c r="D15" s="83">
        <v>46134</v>
      </c>
      <c r="E15" s="83">
        <v>46143</v>
      </c>
      <c r="F15" s="16"/>
      <c r="G15" s="5"/>
      <c r="T15" s="84"/>
      <c r="U15" s="84"/>
    </row>
    <row r="16" spans="1:62" s="41" customFormat="1" ht="30" customHeight="1" thickBot="1">
      <c r="A16" s="79"/>
      <c r="B16" s="49" t="s">
        <v>23</v>
      </c>
      <c r="C16" s="50"/>
      <c r="D16" s="51"/>
      <c r="E16" s="52"/>
      <c r="F16" s="16"/>
      <c r="G16" s="5" t="str">
        <f t="shared" ca="1" si="5"/>
        <v/>
      </c>
    </row>
    <row r="17" spans="1:62" s="41" customFormat="1" ht="30" customHeight="1" thickBot="1">
      <c r="A17" s="79"/>
      <c r="B17" s="80" t="s">
        <v>24</v>
      </c>
      <c r="C17" s="54" t="s">
        <v>13</v>
      </c>
      <c r="D17" s="55">
        <v>46103</v>
      </c>
      <c r="E17" s="55">
        <v>46108</v>
      </c>
      <c r="F17" s="16"/>
      <c r="G17" s="5">
        <f t="shared" ca="1" si="5"/>
        <v>6</v>
      </c>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row>
    <row r="18" spans="1:62" s="41" customFormat="1" ht="30" customHeight="1" thickBot="1">
      <c r="A18" s="79"/>
      <c r="B18" s="53" t="s">
        <v>25</v>
      </c>
      <c r="C18" s="54" t="s">
        <v>15</v>
      </c>
      <c r="D18" s="55">
        <v>46108</v>
      </c>
      <c r="E18" s="55">
        <v>46127</v>
      </c>
      <c r="F18" s="16"/>
      <c r="G18" s="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row>
    <row r="19" spans="1:62" s="41" customFormat="1" ht="30" customHeight="1" thickBot="1">
      <c r="A19" s="79"/>
      <c r="B19" s="53" t="s">
        <v>26</v>
      </c>
      <c r="C19" s="54" t="s">
        <v>15</v>
      </c>
      <c r="D19" s="55">
        <v>46108</v>
      </c>
      <c r="E19" s="55">
        <v>46127</v>
      </c>
      <c r="F19" s="16"/>
      <c r="G19" s="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row>
    <row r="20" spans="1:62" s="41" customFormat="1" ht="30" customHeight="1" thickBot="1">
      <c r="A20" s="13"/>
      <c r="B20" s="53" t="s">
        <v>27</v>
      </c>
      <c r="C20" s="54" t="s">
        <v>15</v>
      </c>
      <c r="D20" s="55">
        <v>46108</v>
      </c>
      <c r="E20" s="55">
        <v>46127</v>
      </c>
      <c r="F20" s="16"/>
      <c r="G20" s="5">
        <f t="shared" ca="1" si="5"/>
        <v>20</v>
      </c>
      <c r="H20" s="45"/>
      <c r="I20" s="45"/>
      <c r="J20" s="45"/>
      <c r="K20" s="45"/>
      <c r="L20" s="45"/>
      <c r="M20" s="45"/>
      <c r="N20" s="45"/>
      <c r="O20" s="45"/>
      <c r="P20" s="45"/>
      <c r="Q20" s="45"/>
      <c r="R20" s="45"/>
      <c r="S20" s="45"/>
      <c r="T20" s="48"/>
      <c r="U20" s="48"/>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row>
    <row r="21" spans="1:62" s="41" customFormat="1" ht="30" customHeight="1" thickBot="1">
      <c r="A21" s="13"/>
      <c r="B21" s="53" t="s">
        <v>28</v>
      </c>
      <c r="C21" s="54" t="s">
        <v>15</v>
      </c>
      <c r="D21" s="55">
        <v>46128</v>
      </c>
      <c r="E21" s="55">
        <v>46137</v>
      </c>
      <c r="F21" s="16"/>
      <c r="G21" s="5"/>
      <c r="H21" s="45"/>
      <c r="I21" s="45"/>
      <c r="J21" s="45"/>
      <c r="K21" s="45"/>
      <c r="L21" s="45"/>
      <c r="M21" s="45"/>
      <c r="N21" s="45"/>
      <c r="O21" s="45"/>
      <c r="P21" s="45"/>
      <c r="Q21" s="45"/>
      <c r="R21" s="45"/>
      <c r="S21" s="45"/>
      <c r="T21" s="48"/>
      <c r="U21" s="48"/>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row>
    <row r="22" spans="1:62" s="41" customFormat="1" ht="30" customHeight="1" thickBot="1">
      <c r="A22" s="13"/>
      <c r="B22" s="53" t="s">
        <v>29</v>
      </c>
      <c r="C22" s="54" t="s">
        <v>30</v>
      </c>
      <c r="D22" s="55">
        <v>46132</v>
      </c>
      <c r="E22" s="55">
        <v>46137</v>
      </c>
      <c r="F22" s="16"/>
      <c r="G22" s="5"/>
      <c r="H22" s="45"/>
      <c r="I22" s="45"/>
      <c r="J22" s="45"/>
      <c r="K22" s="45"/>
      <c r="L22" s="45"/>
      <c r="M22" s="45"/>
      <c r="N22" s="45"/>
      <c r="O22" s="45"/>
      <c r="P22" s="45"/>
      <c r="Q22" s="45"/>
      <c r="R22" s="45"/>
      <c r="S22" s="45"/>
      <c r="T22" s="48"/>
      <c r="U22" s="48"/>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row>
    <row r="23" spans="1:62" s="41" customFormat="1" ht="30" customHeight="1" thickBot="1">
      <c r="A23" s="13"/>
      <c r="B23" s="53" t="s">
        <v>31</v>
      </c>
      <c r="C23" s="54" t="s">
        <v>13</v>
      </c>
      <c r="D23" s="55">
        <v>46133</v>
      </c>
      <c r="E23" s="55" t="s">
        <v>32</v>
      </c>
      <c r="F23" s="16"/>
      <c r="G23" s="5"/>
      <c r="H23" s="45"/>
      <c r="I23" s="45"/>
      <c r="J23" s="45"/>
      <c r="K23" s="45"/>
      <c r="L23" s="45"/>
      <c r="M23" s="45"/>
      <c r="N23" s="45"/>
      <c r="O23" s="45"/>
      <c r="P23" s="45"/>
      <c r="Q23" s="45"/>
      <c r="R23" s="45"/>
      <c r="S23" s="45"/>
      <c r="T23" s="48"/>
      <c r="U23" s="48"/>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row>
    <row r="24" spans="1:62" s="41" customFormat="1" ht="30" customHeight="1" thickBot="1">
      <c r="A24" s="13"/>
      <c r="B24" s="56" t="s">
        <v>33</v>
      </c>
      <c r="C24" s="57"/>
      <c r="D24" s="58"/>
      <c r="E24" s="59"/>
      <c r="F24" s="16"/>
      <c r="G24" s="5" t="str">
        <f t="shared" ca="1" si="5"/>
        <v/>
      </c>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row>
    <row r="25" spans="1:62" s="41" customFormat="1" ht="30" customHeight="1" thickBot="1">
      <c r="A25" s="13"/>
      <c r="B25" s="61" t="s">
        <v>34</v>
      </c>
      <c r="C25" s="62" t="s">
        <v>30</v>
      </c>
      <c r="D25" s="63">
        <v>46143</v>
      </c>
      <c r="E25" s="63">
        <v>46149</v>
      </c>
      <c r="F25" s="16"/>
      <c r="G25" s="5">
        <f t="shared" ca="1" si="5"/>
        <v>7</v>
      </c>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row>
    <row r="26" spans="1:62" s="41" customFormat="1" ht="30" customHeight="1" thickBot="1">
      <c r="A26" s="13"/>
      <c r="B26" s="61" t="s">
        <v>35</v>
      </c>
      <c r="C26" s="62" t="s">
        <v>36</v>
      </c>
      <c r="D26" s="63">
        <v>46148</v>
      </c>
      <c r="E26" s="63">
        <v>46147</v>
      </c>
      <c r="F26" s="16"/>
      <c r="G26" s="5">
        <f t="shared" ca="1" si="5"/>
        <v>0</v>
      </c>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row>
    <row r="27" spans="1:62" s="41" customFormat="1" ht="30" customHeight="1" thickBot="1">
      <c r="A27" s="13"/>
      <c r="B27" s="61" t="s">
        <v>37</v>
      </c>
      <c r="C27" s="62" t="s">
        <v>38</v>
      </c>
      <c r="D27" s="63">
        <v>46066</v>
      </c>
      <c r="E27" s="63">
        <v>46149</v>
      </c>
      <c r="F27" s="16"/>
      <c r="G27" s="5">
        <f t="shared" ca="1" si="5"/>
        <v>84</v>
      </c>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row>
    <row r="28" spans="1:62" s="41" customFormat="1" ht="30" customHeight="1" thickBot="1">
      <c r="A28" s="79"/>
      <c r="B28" s="64" t="s">
        <v>39</v>
      </c>
      <c r="C28" s="65"/>
      <c r="D28" s="66"/>
      <c r="E28" s="67"/>
      <c r="F28" s="16"/>
      <c r="G28" s="6" t="str">
        <f t="shared" ca="1" si="5"/>
        <v/>
      </c>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68"/>
    </row>
    <row r="29" spans="1:62" ht="30" customHeight="1">
      <c r="F29" s="3"/>
    </row>
    <row r="30" spans="1:62" ht="30" customHeight="1">
      <c r="C30" s="15"/>
      <c r="E30" s="14"/>
    </row>
    <row r="31" spans="1:62" ht="30" customHeight="1">
      <c r="C31" s="4"/>
    </row>
  </sheetData>
  <mergeCells count="17">
    <mergeCell ref="A5:A6"/>
    <mergeCell ref="B5:B6"/>
    <mergeCell ref="C5:C6"/>
    <mergeCell ref="D5:D6"/>
    <mergeCell ref="E5:E6"/>
    <mergeCell ref="P2:Y2"/>
    <mergeCell ref="P1:Y1"/>
    <mergeCell ref="H1:N1"/>
    <mergeCell ref="H2:N2"/>
    <mergeCell ref="BE4:BJ4"/>
    <mergeCell ref="H4:N4"/>
    <mergeCell ref="O4:U4"/>
    <mergeCell ref="V4:AB4"/>
    <mergeCell ref="AC4:AI4"/>
    <mergeCell ref="AJ4:AP4"/>
    <mergeCell ref="AQ4:AW4"/>
    <mergeCell ref="AX4:BD4"/>
  </mergeCells>
  <conditionalFormatting sqref="H4:BI27">
    <cfRule type="expression" dxfId="10" priority="1">
      <formula>AND(TODAY()&gt;=H$5, TODAY()&lt;I$5)</formula>
    </cfRule>
  </conditionalFormatting>
  <conditionalFormatting sqref="H9:BI15">
    <cfRule type="expression" dxfId="9" priority="7" stopIfTrue="1">
      <formula>AND(task_end&gt;=H$5,task_start&lt;I$5)</formula>
    </cfRule>
  </conditionalFormatting>
  <conditionalFormatting sqref="H17:BI23">
    <cfRule type="expression" dxfId="8" priority="5" stopIfTrue="1">
      <formula>AND(task_end&gt;=H$5,task_start&lt;I$5)</formula>
    </cfRule>
  </conditionalFormatting>
  <conditionalFormatting sqref="H25:BI27">
    <cfRule type="expression" dxfId="7" priority="3" stopIfTrue="1">
      <formula>AND(task_end&gt;=H$5,task_start&lt;I$5)</formula>
    </cfRule>
  </conditionalFormatting>
  <conditionalFormatting sqref="H9:BJ15">
    <cfRule type="expression" dxfId="6" priority="6">
      <formula>AND(task_start&lt;=H$5,ROUNDDOWN((task_end-task_start+1)*task_progress,0)+task_start-1&gt;=H$5)</formula>
    </cfRule>
  </conditionalFormatting>
  <conditionalFormatting sqref="H17:BJ23">
    <cfRule type="expression" dxfId="5" priority="4">
      <formula>AND(task_start&lt;=H$5,ROUNDDOWN((task_end-task_start+1)*task_progress,0)+task_start-1&gt;=H$5)</formula>
    </cfRule>
  </conditionalFormatting>
  <conditionalFormatting sqref="H25:BJ27">
    <cfRule type="expression" dxfId="4" priority="2">
      <formula>AND(task_start&lt;=H$5,ROUNDDOWN((task_end-task_start+1)*task_progress,0)+task_start-1&gt;=H$5)</formula>
    </cfRule>
  </conditionalFormatting>
  <conditionalFormatting sqref="BJ4:BJ27">
    <cfRule type="expression" dxfId="3" priority="647">
      <formula>AND(TODAY()&gt;=BJ$5, TODAY()&lt;#REF!)</formula>
    </cfRule>
  </conditionalFormatting>
  <conditionalFormatting sqref="BJ9:BJ15">
    <cfRule type="expression" dxfId="2" priority="651" stopIfTrue="1">
      <formula>AND(task_end&gt;=BJ$5,task_start&lt;#REF!)</formula>
    </cfRule>
  </conditionalFormatting>
  <conditionalFormatting sqref="BJ17:BJ23">
    <cfRule type="expression" dxfId="1" priority="655" stopIfTrue="1">
      <formula>AND(task_end&gt;=BJ$5,task_start&lt;#REF!)</formula>
    </cfRule>
  </conditionalFormatting>
  <conditionalFormatting sqref="BJ25:BJ27">
    <cfRule type="expression" dxfId="0" priority="659" stopIfTrue="1">
      <formula>AND(task_end&gt;=BJ$5,task_start&lt;#REF!)</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2"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3:A15"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6" xr:uid="{4F48FC41-E335-47F1-87AA-3333A52AD81C}"/>
    <dataValidation allowBlank="1" showInputMessage="1" showErrorMessage="1" prompt="Phase 3's sample block starts in cell B20." sqref="A24" xr:uid="{956902D1-D3B5-416D-BB69-9362D193BC0A}"/>
    <dataValidation allowBlank="1" showInputMessage="1" showErrorMessage="1" prompt="This row marks the end of the Project Schedule. DO NOT enter anything in this row. _x000a_Insert new rows ABOVE this one to continue building out your Project Schedule." sqref="A2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6"/>
  <cols>
    <col min="1" max="1" width="87" style="7" customWidth="1"/>
    <col min="2" max="16384" width="9" style="1"/>
  </cols>
  <sheetData>
    <row r="1" spans="1:2" ht="46.5" customHeight="1"/>
    <row r="2" spans="1:2" s="9" customFormat="1" ht="15.6">
      <c r="A2" s="72" t="s">
        <v>4</v>
      </c>
      <c r="B2" s="8"/>
    </row>
    <row r="3" spans="1:2" s="11" customFormat="1" ht="27" customHeight="1">
      <c r="A3" s="73"/>
      <c r="B3" s="12"/>
    </row>
    <row r="4" spans="1:2" s="10" customFormat="1" ht="30.6">
      <c r="A4" s="74" t="s">
        <v>40</v>
      </c>
    </row>
    <row r="5" spans="1:2" ht="74.25" customHeight="1">
      <c r="A5" s="75" t="s">
        <v>41</v>
      </c>
    </row>
    <row r="6" spans="1:2" ht="26.25" customHeight="1">
      <c r="A6" s="74" t="s">
        <v>42</v>
      </c>
    </row>
    <row r="7" spans="1:2" s="7" customFormat="1" ht="205.15" customHeight="1">
      <c r="A7" s="76" t="s">
        <v>43</v>
      </c>
    </row>
    <row r="8" spans="1:2" s="10" customFormat="1" ht="30.6">
      <c r="A8" s="74" t="s">
        <v>44</v>
      </c>
    </row>
    <row r="9" spans="1:2" ht="42">
      <c r="A9" s="75" t="s">
        <v>45</v>
      </c>
    </row>
    <row r="10" spans="1:2" s="7" customFormat="1" ht="28.15" customHeight="1">
      <c r="A10" s="77" t="s">
        <v>46</v>
      </c>
    </row>
    <row r="11" spans="1:2" s="10" customFormat="1" ht="30.6">
      <c r="A11" s="74" t="s">
        <v>47</v>
      </c>
    </row>
    <row r="12" spans="1:2" ht="27.95">
      <c r="A12" s="75" t="s">
        <v>48</v>
      </c>
    </row>
    <row r="13" spans="1:2" s="7" customFormat="1" ht="28.15" customHeight="1">
      <c r="A13" s="77" t="s">
        <v>49</v>
      </c>
    </row>
    <row r="14" spans="1:2" s="10" customFormat="1" ht="30.6">
      <c r="A14" s="74" t="s">
        <v>50</v>
      </c>
    </row>
    <row r="15" spans="1:2" ht="75" customHeight="1">
      <c r="A15" s="75" t="s">
        <v>51</v>
      </c>
    </row>
    <row r="16" spans="1:2" ht="69.95">
      <c r="A16" s="75" t="s">
        <v>52</v>
      </c>
    </row>
    <row r="17" spans="1:1">
      <c r="A17" s="78"/>
    </row>
    <row r="18" spans="1:1">
      <c r="A18" s="78"/>
    </row>
    <row r="19" spans="1:1">
      <c r="A19" s="78"/>
    </row>
    <row r="20" spans="1:1">
      <c r="A20" s="78"/>
    </row>
    <row r="21" spans="1:1">
      <c r="A21" s="78"/>
    </row>
    <row r="22" spans="1:1">
      <c r="A22" s="78"/>
    </row>
    <row r="23" spans="1:1">
      <c r="A23" s="78"/>
    </row>
    <row r="24" spans="1:1">
      <c r="A24" s="7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Ames</dc:creator>
  <cp:keywords/>
  <dc:description/>
  <cp:lastModifiedBy>Logan Baardson</cp:lastModifiedBy>
  <cp:revision/>
  <dcterms:created xsi:type="dcterms:W3CDTF">2022-03-11T22:41:12Z</dcterms:created>
  <dcterms:modified xsi:type="dcterms:W3CDTF">2026-05-07T21:34:48Z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